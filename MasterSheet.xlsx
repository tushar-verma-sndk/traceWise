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corpsd-my.sharepoint.com/personal/tushar_verma_sandisk_com/Documents/Platform_Team/Helping_Codes/"/>
    </mc:Choice>
  </mc:AlternateContent>
  <xr:revisionPtr revIDLastSave="6" documentId="11_F25DC773A252ABDACC104856F958661E5ADE58EF" xr6:coauthVersionLast="47" xr6:coauthVersionMax="47" xr10:uidLastSave="{EFFA4574-10BF-4E39-9E79-16D5ED160330}"/>
  <bookViews>
    <workbookView xWindow="-110" yWindow="-110" windowWidth="25820" windowHeight="1550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2" i="1" l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<sst xmlns="http://schemas.openxmlformats.org/spreadsheetml/2006/main" count="543" uniqueCount="238">
  <si>
    <t>Sl No.</t>
  </si>
  <si>
    <t>Category</t>
  </si>
  <si>
    <t>Host Name</t>
  </si>
  <si>
    <t>Platform Name</t>
  </si>
  <si>
    <t>Model</t>
  </si>
  <si>
    <t>Processor</t>
  </si>
  <si>
    <t>Chipset</t>
  </si>
  <si>
    <t>PCIe Speed</t>
  </si>
  <si>
    <t>Storage Controller</t>
  </si>
  <si>
    <t>Qty</t>
  </si>
  <si>
    <t>M.2 Slots</t>
  </si>
  <si>
    <t>Reference</t>
  </si>
  <si>
    <t>S0ix/S3</t>
  </si>
  <si>
    <t>Column1</t>
  </si>
  <si>
    <t>GOEM</t>
  </si>
  <si>
    <t>GOEM01</t>
  </si>
  <si>
    <t>Acer Predator Helios 18 AI PH 18-73</t>
  </si>
  <si>
    <t>90A6</t>
  </si>
  <si>
    <t>Intel® Core™ Ultra 9-275HX</t>
  </si>
  <si>
    <t>Gen5</t>
  </si>
  <si>
    <t>Phase-1</t>
  </si>
  <si>
    <t>completed</t>
  </si>
  <si>
    <t>GOEM02</t>
  </si>
  <si>
    <t>Asus ROG Strix G615LM-DS94</t>
  </si>
  <si>
    <t>DS94</t>
  </si>
  <si>
    <t>Intel CORE ULTRA 9 275HX</t>
  </si>
  <si>
    <t>GOEM03</t>
  </si>
  <si>
    <t>ASUS ROG Strix G815LP-XS97</t>
  </si>
  <si>
    <t>XS97</t>
  </si>
  <si>
    <t>GOEM04</t>
  </si>
  <si>
    <t>ASUS ROG Strix SCAR 18 (2025) G835LX-XS97</t>
  </si>
  <si>
    <t>GOEM05</t>
  </si>
  <si>
    <t>Asus ROG Strix SCAR 16 G635LW-RW157WS</t>
  </si>
  <si>
    <t>RW157WS</t>
  </si>
  <si>
    <t>Intel Core Ultra 9 275HX</t>
  </si>
  <si>
    <t>IRST</t>
  </si>
  <si>
    <t>Vesta-Phase1</t>
  </si>
  <si>
    <t>si0x</t>
  </si>
  <si>
    <t>GOEM06</t>
  </si>
  <si>
    <t>MSI Raider A18 HX A9WIG-082US</t>
  </si>
  <si>
    <t>082US</t>
  </si>
  <si>
    <t>AMD Ryzen 9 9955HX3D</t>
  </si>
  <si>
    <t>GOEM07</t>
  </si>
  <si>
    <t>MSI Raider 18 HX AI A2XWJG-416US</t>
  </si>
  <si>
    <t>416US</t>
  </si>
  <si>
    <t xml:space="preserve">Intel Core Ultra 9 285HX </t>
  </si>
  <si>
    <t>GOEM08</t>
  </si>
  <si>
    <t>MSI Raider 18 HX AI A2XWIG-418US</t>
  </si>
  <si>
    <t>418US</t>
  </si>
  <si>
    <t>Intel Core Ultra 9 285HX</t>
  </si>
  <si>
    <t>GOEM09</t>
  </si>
  <si>
    <t>MSI Crosshair A16 HX D8WFKG-035IN</t>
  </si>
  <si>
    <t>035IN</t>
  </si>
  <si>
    <t>AMD Ryzen 9 8940HX</t>
  </si>
  <si>
    <t>MSFT</t>
  </si>
  <si>
    <t>SI0X</t>
  </si>
  <si>
    <t>GOEM10</t>
  </si>
  <si>
    <t>MSI Vector 17 HX AI A2XWHG</t>
  </si>
  <si>
    <t>A2XWHG</t>
  </si>
  <si>
    <t>Intel Ultra9 275HX</t>
  </si>
  <si>
    <t>SOIX</t>
  </si>
  <si>
    <t>GOEM11</t>
  </si>
  <si>
    <t>ASUS ROG MAXIMUS Z890 HERO</t>
  </si>
  <si>
    <t>System Product Name</t>
  </si>
  <si>
    <t>Intel(R) Core(TM) Ultra 9 285K</t>
  </si>
  <si>
    <t>Thor</t>
  </si>
  <si>
    <t>GOEM12</t>
  </si>
  <si>
    <t>ASUS ROG STRIX X870-E GAMING WIFI</t>
  </si>
  <si>
    <t>AMD Ryzen 9 9950X 16-Core Processor</t>
  </si>
  <si>
    <t xml:space="preserve">Thor </t>
  </si>
  <si>
    <t>GOEM13</t>
  </si>
  <si>
    <t>MSI Raider GE78 HX 14VGG</t>
  </si>
  <si>
    <t>Raider GE78 HX 14VGG</t>
  </si>
  <si>
    <t>Intel(R) Core(TM) i9-14900HX</t>
  </si>
  <si>
    <t>GOEM14</t>
  </si>
  <si>
    <t>ASUS EXPERTBOOK P5405CSA</t>
  </si>
  <si>
    <t>Intel(R) Core(TM) Ultra 5 226V</t>
  </si>
  <si>
    <t>Thor &amp; Tessara</t>
  </si>
  <si>
    <t>GOEM15</t>
  </si>
  <si>
    <t>ASUS ROG STRIX X670-E GAMING WIFI</t>
  </si>
  <si>
    <t>AMD Ryzen 9 7900X 12-Core Processor</t>
  </si>
  <si>
    <t>GOEM16</t>
  </si>
  <si>
    <t>MSI Raider 18 HX A14VIG</t>
  </si>
  <si>
    <t>Raider 18 HX A14VIG</t>
  </si>
  <si>
    <t>GOEM17</t>
  </si>
  <si>
    <t>MSI Crosshair 16 HX D14VGKG</t>
  </si>
  <si>
    <t>Crosshair 16 HX D14VGKG</t>
  </si>
  <si>
    <t>Intel(R) Core(TM) i7-14650HX</t>
  </si>
  <si>
    <t>GOEM18</t>
  </si>
  <si>
    <t>MSI Katana A17 AI B8VG</t>
  </si>
  <si>
    <t>MSI</t>
  </si>
  <si>
    <t>AMD Ryzen 9 8945HS w/ Radeon 780M Graphics</t>
  </si>
  <si>
    <t>Gen4</t>
  </si>
  <si>
    <t>competed</t>
  </si>
  <si>
    <t>GOEM19</t>
  </si>
  <si>
    <t>ASUS Zenbook 14 UM3406HA_UM3406HA</t>
  </si>
  <si>
    <t>ASUS</t>
  </si>
  <si>
    <t>AMD Ryzen 7 8840HS w/ Radeon 780M Graphics</t>
  </si>
  <si>
    <t>GOEM20</t>
  </si>
  <si>
    <t>ASUS Vivobook S 15 S5507QA_S5507QAD</t>
  </si>
  <si>
    <t>Snapdragon(R) X Plus - X1P64100 - Qualcomm(R) Oryon(TM) CPU</t>
  </si>
  <si>
    <t>Completed</t>
  </si>
  <si>
    <t>GOEM21</t>
  </si>
  <si>
    <t>MSI Prestige A16 AI+ A3HMG</t>
  </si>
  <si>
    <t>AMD Ryzen AI 9 365 w/ Radeon 880M</t>
  </si>
  <si>
    <t>GOEM22</t>
  </si>
  <si>
    <t>MSI Summit A16 AI+ A3HMTG</t>
  </si>
  <si>
    <t>GOEM23</t>
  </si>
  <si>
    <t>Swift SF14-51T</t>
  </si>
  <si>
    <t>ACER</t>
  </si>
  <si>
    <t>Intel(R) Core(TM) Ultra 7 258V</t>
  </si>
  <si>
    <t>Si0x</t>
  </si>
  <si>
    <t>COMPLETED</t>
  </si>
  <si>
    <t>GOEM24</t>
  </si>
  <si>
    <t>ACER Swift SFG14-72</t>
  </si>
  <si>
    <t>Intel(R) Core(TM) Ultra 7 155H</t>
  </si>
  <si>
    <t>completd</t>
  </si>
  <si>
    <t>GOEM25</t>
  </si>
  <si>
    <t>Gigabyte B650E AORUS ELITE X AX ICE</t>
  </si>
  <si>
    <t>Gigabyte</t>
  </si>
  <si>
    <t>GOEM26</t>
  </si>
  <si>
    <t>ASUS ROG MAXIMUS Z790 DARK HERO</t>
  </si>
  <si>
    <t xml:space="preserve">Intel Core i9-14900K </t>
  </si>
  <si>
    <t>GOEM27</t>
  </si>
  <si>
    <t>ASUS ROG STRIX Z790E</t>
  </si>
  <si>
    <t>Intel core i5-13600KF</t>
  </si>
  <si>
    <t>Raptor lake</t>
  </si>
  <si>
    <t>GOEM28</t>
  </si>
  <si>
    <t>MSI Prestige 13 AI + Evo A2VMG</t>
  </si>
  <si>
    <t>Intel Core ultra7 258v</t>
  </si>
  <si>
    <t>GOEM29</t>
  </si>
  <si>
    <t>Acer Predator PHN16-72</t>
  </si>
  <si>
    <t>Intel Core i9-14900HX</t>
  </si>
  <si>
    <t>GOEM31</t>
  </si>
  <si>
    <t>HONOR</t>
  </si>
  <si>
    <t>Honor</t>
  </si>
  <si>
    <t>13th Gen Intel(R) Core(TM) i5-13500H</t>
  </si>
  <si>
    <t>GOEM32</t>
  </si>
  <si>
    <t>AMD Ryzen 7 8845HS w/ Radeon 780M Graphics</t>
  </si>
  <si>
    <t>GOEM33</t>
  </si>
  <si>
    <t>ACER Swift SFG16-72</t>
  </si>
  <si>
    <t>Intel(R) Core(TM) Ultra 5 125H</t>
  </si>
  <si>
    <t>GOEM34</t>
  </si>
  <si>
    <t>Acer Swift SFG14-01</t>
  </si>
  <si>
    <t>Snapdragon(R) X Plus - X1P42100 - Qualcomm(R) Oryon(TM) CPU</t>
  </si>
  <si>
    <t>GOEM35</t>
  </si>
  <si>
    <t>ACER Predator PTN16-51</t>
  </si>
  <si>
    <t>GOEM36</t>
  </si>
  <si>
    <t>ASUS ROG Zephyrus G14 GA403UV_GA403UV</t>
  </si>
  <si>
    <t>03UV</t>
  </si>
  <si>
    <t>GOEM37</t>
  </si>
  <si>
    <t>ASUS TUF Gaming A14 FA401WV_FA401WV</t>
  </si>
  <si>
    <t>01WV</t>
  </si>
  <si>
    <t>AMD Ryzen AI 9 HX 370 w/ Radeon 890M</t>
  </si>
  <si>
    <t>GOEM38</t>
  </si>
  <si>
    <t>ACER Nitro N70-130</t>
  </si>
  <si>
    <t>AMD Ryzen 9 7900 12-Core Processor</t>
  </si>
  <si>
    <t>S3</t>
  </si>
  <si>
    <t>GOEM39</t>
  </si>
  <si>
    <t>ACERSwift SF14-61T</t>
  </si>
  <si>
    <t>-61T</t>
  </si>
  <si>
    <t xml:space="preserve">Gen4 </t>
  </si>
  <si>
    <t>GOEM40</t>
  </si>
  <si>
    <t>ProArt P16 H7606WI_H7606WI</t>
  </si>
  <si>
    <t>06WI</t>
  </si>
  <si>
    <t>GOEM41</t>
  </si>
  <si>
    <t>ASUS Vivobook S 14 M5406WA_M5406WA</t>
  </si>
  <si>
    <t>06WA</t>
  </si>
  <si>
    <t>GOEM42</t>
  </si>
  <si>
    <t>ASUS Vivobook S 14 S5406SA_S5406SA</t>
  </si>
  <si>
    <t>06SA</t>
  </si>
  <si>
    <t>GOEM43</t>
  </si>
  <si>
    <t>MSI Katana A15 AI B8VF</t>
  </si>
  <si>
    <t>B8VF</t>
  </si>
  <si>
    <t>Tessara</t>
  </si>
  <si>
    <t>GOEM44</t>
  </si>
  <si>
    <t>ROG Zephyrus Duo 16 GX650PZ_GX650PZ</t>
  </si>
  <si>
    <t>AMD Ryzen 9 7945HX with Radeon Graphics</t>
  </si>
  <si>
    <t>GOEM45</t>
  </si>
  <si>
    <t>HUAWEI</t>
  </si>
  <si>
    <t>VGHH-XX</t>
  </si>
  <si>
    <t>Intel(R) Core(TM) Ultra 9 185H</t>
  </si>
  <si>
    <t>Tessara &amp; Thor</t>
  </si>
  <si>
    <t>SI0x</t>
  </si>
  <si>
    <t>GOEM46</t>
  </si>
  <si>
    <t>FLMH-XX</t>
  </si>
  <si>
    <t>GOEM47</t>
  </si>
  <si>
    <t>ASUS ROG Zephyrus Duo 16 GX650PZ_GX650PZ</t>
  </si>
  <si>
    <t>GOEM48</t>
  </si>
  <si>
    <t>ROG Strix G614JU_G614JU</t>
  </si>
  <si>
    <t>14JU</t>
  </si>
  <si>
    <t>13th Gen Intel(R) Core(TM) i9-13980HX</t>
  </si>
  <si>
    <t>kavana</t>
  </si>
  <si>
    <t>GOEM49</t>
  </si>
  <si>
    <t>ACER Predator PHN16-71</t>
  </si>
  <si>
    <t>13th Gen Intel(R) Core(TM) i7-13700HX</t>
  </si>
  <si>
    <t>GOEM50</t>
  </si>
  <si>
    <t>Swift SFG14-71T</t>
  </si>
  <si>
    <t>-71T</t>
  </si>
  <si>
    <t>13th Gen Intel(R) Core(TM) i7-13700H</t>
  </si>
  <si>
    <t>GOEM51</t>
  </si>
  <si>
    <t xml:space="preserve">ASUS RoG G22CH </t>
  </si>
  <si>
    <t xml:space="preserve">2CH </t>
  </si>
  <si>
    <t>Intel i7 -14700H</t>
  </si>
  <si>
    <t>GOEM52</t>
  </si>
  <si>
    <t>Lenovo X1 Carbon Gen13</t>
  </si>
  <si>
    <t>21NTS0Y600</t>
  </si>
  <si>
    <t>Intel Ultra 7 268v,2200 Mhz, 8 Core(s)</t>
  </si>
  <si>
    <t>GOEM53</t>
  </si>
  <si>
    <t>Samsung 960QHA</t>
  </si>
  <si>
    <t>0QHA</t>
  </si>
  <si>
    <t>Intel(R) Core(TM) Ultra 7 256V</t>
  </si>
  <si>
    <t>GOEM54</t>
  </si>
  <si>
    <t>Samsung 960XGL</t>
  </si>
  <si>
    <t>0XGL</t>
  </si>
  <si>
    <t>GOEM55</t>
  </si>
  <si>
    <t>Surface Laptop 6 for Business</t>
  </si>
  <si>
    <t>Intel(R) Core(TM) Ultra 7 165H</t>
  </si>
  <si>
    <t>GOEM56</t>
  </si>
  <si>
    <t>MSI Summit 13 AI + Evo A2VMTG</t>
  </si>
  <si>
    <t>Intel core ultra7  258v</t>
  </si>
  <si>
    <t>GOEM57</t>
  </si>
  <si>
    <t>ASUS Zenbook S 16 UM5606WA_UM5606WA</t>
  </si>
  <si>
    <t>GOEM58</t>
  </si>
  <si>
    <t>ROG Strix Scar 1B Laptop Gaming</t>
  </si>
  <si>
    <t>asus</t>
  </si>
  <si>
    <t>Intel core i9-14900HX</t>
  </si>
  <si>
    <t xml:space="preserve">TPE02 </t>
  </si>
  <si>
    <t>Asus ROG Maximus Z890 Hero Mother Board With Accessories</t>
  </si>
  <si>
    <t>Asus</t>
  </si>
  <si>
    <t>TPE03</t>
  </si>
  <si>
    <t>Asus Strix-X870E-E Gaming Mother Board</t>
  </si>
  <si>
    <t>RETAIL DESKTOP2</t>
  </si>
  <si>
    <t>Rog Strix Z790E</t>
  </si>
  <si>
    <t>Inteli5 13600KF</t>
  </si>
  <si>
    <t>Raptor Lake</t>
  </si>
  <si>
    <t>RETAIL DESKTOP3</t>
  </si>
  <si>
    <t>Gigabyte B650E AORUS ELITE X AX ICE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</si>
</sst>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156082"/>
        <bgColor rgb="FF156082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156082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5" fillId="4" borderId="0" xfId="0" applyFont="1" applyFill="1"/>
    <xf numFmtId="16" fontId="3" fillId="0" borderId="0" xfId="0" applyNumberFormat="1" applyFont="1" applyAlignment="1">
      <alignment horizontal="center"/>
    </xf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2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000322316\Downloads\Vesta_GOEM_AO013_TestPlan%20(2).xlsm" TargetMode="External"/><Relationship Id="rId1" Type="http://schemas.openxmlformats.org/officeDocument/2006/relationships/externalLinkPath" Target="file:///C:\Users\1000322316\Downloads\Vesta_GOEM_AO013_TestPlan%20(2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uery1"/>
      <sheetName val="Master Sheet"/>
      <sheetName val="Test_Matrix"/>
      <sheetName val="Test_Category"/>
      <sheetName val="OS Installation"/>
      <sheetName val="GOEM IO"/>
      <sheetName val="GOEM Power Cycle"/>
      <sheetName val="GOEM CTD"/>
      <sheetName val="Generic"/>
      <sheetName val="Vesta_GOEM_AO013_TestPlan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273C63-4207-450D-935F-BE41BCF597BD}" name="Table5" displayName="Table5" ref="A1:N62" totalsRowShown="0" headerRowDxfId="1">
  <autoFilter ref="A1:N62" xr:uid="{01273C63-4207-450D-935F-BE41BCF597BD}"/>
  <tableColumns count="14">
    <tableColumn id="1" xr3:uid="{4E134F34-225F-4309-A6B2-6E9602EA2EF2}" name="Sl No."/>
    <tableColumn id="12" xr3:uid="{DD83D2F4-DAFC-4C2C-BCA9-00B001EB7A3A}" name="Category"/>
    <tableColumn id="2" xr3:uid="{06C1149E-890D-4B25-879D-FE791F04574F}" name="Host Name"/>
    <tableColumn id="3" xr3:uid="{58AFEE0E-C404-4F8E-8982-8A2E8998979D}" name="Platform Name"/>
    <tableColumn id="4" xr3:uid="{8E73A431-13E2-4911-AFB8-4C9AD385B755}" name="Model"/>
    <tableColumn id="5" xr3:uid="{C4F64283-69BA-490F-A345-3DAADB9F72DD}" name="Processor"/>
    <tableColumn id="6" xr3:uid="{780179F4-DFCD-4D93-9CAE-895791572A76}" name="Chipset" dataDxfId="0">
      <calculatedColumnFormula>[1]!Query1[[#This Row],[Chipsets]]</calculatedColumnFormula>
    </tableColumn>
    <tableColumn id="7" xr3:uid="{33C33A6F-34E3-4513-931A-B7612F197750}" name="PCIe Speed"/>
    <tableColumn id="8" xr3:uid="{42C25427-C683-408A-A119-BAE39C5E51E8}" name="Storage Controller"/>
    <tableColumn id="13" xr3:uid="{E6A24918-93A7-4504-B607-14B01C5B06AC}" name="Qty"/>
    <tableColumn id="9" xr3:uid="{6C4DF9DD-8E14-4881-B906-48FF33E77A4B}" name="M.2 Slots"/>
    <tableColumn id="10" xr3:uid="{C4E0DE0C-88DB-44A6-A008-9DFFAE3B926D}" name="Reference"/>
    <tableColumn id="11" xr3:uid="{6807E461-B65D-4110-B5C8-E63563107F6F}" name="S0ix/S3"/>
    <tableColumn id="14" xr3:uid="{102AF354-3443-46F0-A513-D9440793F567}" name="Column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2"/>
  <sheetViews>
    <sheetView tabSelected="1" workbookViewId="0">
      <selection activeCell="I14" sqref="I14"/>
    </sheetView>
  </sheetViews>
  <sheetFormatPr defaultRowHeight="14.5" x14ac:dyDescent="0.35"/>
  <cols>
    <col min="1" max="1" width="10.08984375" bestFit="1" customWidth="1"/>
    <col min="3" max="3" width="15.54296875" bestFit="1" customWidth="1"/>
    <col min="4" max="4" width="53.453125" bestFit="1" customWidth="1"/>
    <col min="5" max="5" width="25.453125" bestFit="1" customWidth="1"/>
    <col min="6" max="6" width="55.453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</row>
    <row r="2" spans="1:14" x14ac:dyDescent="0.35">
      <c r="A2">
        <v>1</v>
      </c>
      <c r="B2" s="4" t="s">
        <v>14</v>
      </c>
      <c r="C2" s="4" t="s">
        <v>15</v>
      </c>
      <c r="D2" s="4" t="s">
        <v>16</v>
      </c>
      <c r="E2" s="5" t="s">
        <v>17</v>
      </c>
      <c r="F2" s="6" t="s">
        <v>18</v>
      </c>
      <c r="G2" t="str">
        <f>[1]!Query1[[#This Row],[Chipsets]]</f>
        <v>Arrow Lake</v>
      </c>
      <c r="H2" s="4" t="s">
        <v>19</v>
      </c>
      <c r="I2" s="4"/>
      <c r="J2" s="4">
        <v>3</v>
      </c>
      <c r="K2" s="4"/>
      <c r="L2" s="4" t="s">
        <v>20</v>
      </c>
      <c r="M2" s="4"/>
      <c r="N2" s="4" t="s">
        <v>21</v>
      </c>
    </row>
    <row r="3" spans="1:14" x14ac:dyDescent="0.35">
      <c r="A3">
        <v>2</v>
      </c>
      <c r="B3" s="4" t="s">
        <v>14</v>
      </c>
      <c r="C3" s="4" t="s">
        <v>22</v>
      </c>
      <c r="D3" s="4" t="s">
        <v>23</v>
      </c>
      <c r="E3" s="5" t="s">
        <v>24</v>
      </c>
      <c r="F3" s="6" t="s">
        <v>25</v>
      </c>
      <c r="G3" t="str">
        <f>[1]!Query1[[#This Row],[Chipsets]]</f>
        <v>Arrow Lake</v>
      </c>
      <c r="H3" s="4" t="s">
        <v>19</v>
      </c>
      <c r="I3" s="4"/>
      <c r="J3" s="4">
        <v>2</v>
      </c>
      <c r="K3" s="4"/>
      <c r="L3" s="4" t="s">
        <v>20</v>
      </c>
      <c r="M3" s="4"/>
      <c r="N3" s="4" t="s">
        <v>21</v>
      </c>
    </row>
    <row r="4" spans="1:14" x14ac:dyDescent="0.35">
      <c r="A4">
        <v>3</v>
      </c>
      <c r="B4" s="4" t="s">
        <v>14</v>
      </c>
      <c r="C4" s="4" t="s">
        <v>26</v>
      </c>
      <c r="D4" s="4" t="s">
        <v>27</v>
      </c>
      <c r="E4" s="5" t="s">
        <v>28</v>
      </c>
      <c r="F4" s="6" t="s">
        <v>25</v>
      </c>
      <c r="G4" t="str">
        <f>[1]!Query1[[#This Row],[Chipsets]]</f>
        <v>Arrow Lake</v>
      </c>
      <c r="H4" s="4" t="s">
        <v>19</v>
      </c>
      <c r="I4" s="4"/>
      <c r="J4" s="4">
        <v>2</v>
      </c>
      <c r="K4" s="4"/>
      <c r="L4" s="4" t="s">
        <v>20</v>
      </c>
      <c r="M4" s="4"/>
      <c r="N4" s="4" t="s">
        <v>21</v>
      </c>
    </row>
    <row r="5" spans="1:14" x14ac:dyDescent="0.35">
      <c r="A5">
        <v>4</v>
      </c>
      <c r="B5" s="4" t="s">
        <v>14</v>
      </c>
      <c r="C5" s="4" t="s">
        <v>29</v>
      </c>
      <c r="D5" s="4" t="s">
        <v>30</v>
      </c>
      <c r="E5" s="5" t="s">
        <v>28</v>
      </c>
      <c r="F5" s="6" t="s">
        <v>25</v>
      </c>
      <c r="G5" t="str">
        <f>[1]!Query1[[#This Row],[Chipsets]]</f>
        <v>Arrow Lake</v>
      </c>
      <c r="H5" s="4" t="s">
        <v>19</v>
      </c>
      <c r="I5" s="4"/>
      <c r="J5" s="4">
        <v>2</v>
      </c>
      <c r="K5" s="4"/>
      <c r="L5" s="4" t="s">
        <v>20</v>
      </c>
      <c r="M5" s="4"/>
      <c r="N5" s="4" t="s">
        <v>21</v>
      </c>
    </row>
    <row r="6" spans="1:14" x14ac:dyDescent="0.35">
      <c r="A6">
        <v>5</v>
      </c>
      <c r="B6" s="4" t="s">
        <v>14</v>
      </c>
      <c r="C6" s="4" t="s">
        <v>31</v>
      </c>
      <c r="D6" s="4" t="s">
        <v>32</v>
      </c>
      <c r="E6" s="5" t="s">
        <v>33</v>
      </c>
      <c r="F6" s="6" t="s">
        <v>34</v>
      </c>
      <c r="G6" t="str">
        <f>[1]!Query1[[#This Row],[Chipsets]]</f>
        <v>Arrow Lake</v>
      </c>
      <c r="H6" s="4" t="s">
        <v>19</v>
      </c>
      <c r="I6" s="4" t="s">
        <v>35</v>
      </c>
      <c r="J6" s="4">
        <v>2</v>
      </c>
      <c r="K6" s="4">
        <v>2</v>
      </c>
      <c r="L6" s="4" t="s">
        <v>36</v>
      </c>
      <c r="M6" s="4" t="s">
        <v>37</v>
      </c>
      <c r="N6" s="4" t="s">
        <v>21</v>
      </c>
    </row>
    <row r="7" spans="1:14" x14ac:dyDescent="0.35">
      <c r="A7">
        <v>6</v>
      </c>
      <c r="B7" s="4" t="s">
        <v>14</v>
      </c>
      <c r="C7" s="4" t="s">
        <v>38</v>
      </c>
      <c r="D7" s="4" t="s">
        <v>39</v>
      </c>
      <c r="E7" s="5" t="s">
        <v>40</v>
      </c>
      <c r="F7" s="6" t="s">
        <v>41</v>
      </c>
      <c r="G7" t="str">
        <f>[1]!Query1[[#This Row],[Chipsets]]</f>
        <v>Fire Range</v>
      </c>
      <c r="H7" s="4" t="s">
        <v>19</v>
      </c>
      <c r="I7" s="4"/>
      <c r="J7" s="4">
        <v>2</v>
      </c>
      <c r="K7" s="4"/>
      <c r="L7" s="4" t="s">
        <v>20</v>
      </c>
      <c r="M7" s="4"/>
      <c r="N7" s="4" t="s">
        <v>21</v>
      </c>
    </row>
    <row r="8" spans="1:14" x14ac:dyDescent="0.35">
      <c r="A8">
        <v>7</v>
      </c>
      <c r="B8" s="4" t="s">
        <v>14</v>
      </c>
      <c r="C8" s="4" t="s">
        <v>42</v>
      </c>
      <c r="D8" s="4" t="s">
        <v>43</v>
      </c>
      <c r="E8" s="5" t="s">
        <v>44</v>
      </c>
      <c r="F8" s="6" t="s">
        <v>45</v>
      </c>
      <c r="G8" t="str">
        <f>[1]!Query1[[#This Row],[Chipsets]]</f>
        <v>Arrow Lake</v>
      </c>
      <c r="H8" s="4" t="s">
        <v>19</v>
      </c>
      <c r="I8" s="4"/>
      <c r="J8" s="4">
        <v>1</v>
      </c>
      <c r="K8" s="4"/>
      <c r="L8" s="4" t="s">
        <v>20</v>
      </c>
      <c r="M8" s="4"/>
      <c r="N8" s="4" t="s">
        <v>21</v>
      </c>
    </row>
    <row r="9" spans="1:14" x14ac:dyDescent="0.35">
      <c r="A9">
        <v>8</v>
      </c>
      <c r="B9" s="4" t="s">
        <v>14</v>
      </c>
      <c r="C9" s="4" t="s">
        <v>46</v>
      </c>
      <c r="D9" s="4" t="s">
        <v>47</v>
      </c>
      <c r="E9" s="5" t="s">
        <v>48</v>
      </c>
      <c r="F9" s="6" t="s">
        <v>49</v>
      </c>
      <c r="G9" t="str">
        <f>[1]!Query1[[#This Row],[Chipsets]]</f>
        <v>Arrow Lake</v>
      </c>
      <c r="H9" s="4" t="s">
        <v>19</v>
      </c>
      <c r="I9" s="4"/>
      <c r="J9" s="4">
        <v>1</v>
      </c>
      <c r="K9" s="4"/>
      <c r="L9" s="4" t="s">
        <v>20</v>
      </c>
      <c r="M9" s="4"/>
      <c r="N9" s="4" t="s">
        <v>21</v>
      </c>
    </row>
    <row r="10" spans="1:14" x14ac:dyDescent="0.35">
      <c r="A10">
        <v>9</v>
      </c>
      <c r="B10" s="4" t="s">
        <v>14</v>
      </c>
      <c r="C10" s="4" t="s">
        <v>50</v>
      </c>
      <c r="D10" s="4" t="s">
        <v>51</v>
      </c>
      <c r="E10" s="5" t="s">
        <v>52</v>
      </c>
      <c r="F10" s="6" t="s">
        <v>53</v>
      </c>
      <c r="G10" t="str">
        <f>[1]!Query1[[#This Row],[Chipsets]]</f>
        <v>Dragon Range</v>
      </c>
      <c r="H10" s="4" t="s">
        <v>19</v>
      </c>
      <c r="I10" s="4" t="s">
        <v>54</v>
      </c>
      <c r="J10" s="4">
        <v>2</v>
      </c>
      <c r="K10" s="4">
        <v>2</v>
      </c>
      <c r="L10" s="4" t="s">
        <v>36</v>
      </c>
      <c r="M10" s="4" t="s">
        <v>55</v>
      </c>
      <c r="N10" s="4" t="s">
        <v>21</v>
      </c>
    </row>
    <row r="11" spans="1:14" x14ac:dyDescent="0.35">
      <c r="A11">
        <v>10</v>
      </c>
      <c r="B11" s="4" t="s">
        <v>14</v>
      </c>
      <c r="C11" s="4" t="s">
        <v>56</v>
      </c>
      <c r="D11" s="4" t="s">
        <v>57</v>
      </c>
      <c r="E11" s="5" t="s">
        <v>58</v>
      </c>
      <c r="F11" s="6" t="s">
        <v>59</v>
      </c>
      <c r="G11" t="str">
        <f>[1]!Query1[[#This Row],[Chipsets]]</f>
        <v>Arrow Lake</v>
      </c>
      <c r="H11" s="4" t="s">
        <v>19</v>
      </c>
      <c r="I11" s="4" t="s">
        <v>35</v>
      </c>
      <c r="J11" s="4">
        <v>2</v>
      </c>
      <c r="K11" s="4">
        <v>2</v>
      </c>
      <c r="L11" s="4" t="s">
        <v>36</v>
      </c>
      <c r="M11" s="4" t="s">
        <v>60</v>
      </c>
      <c r="N11" s="4" t="s">
        <v>21</v>
      </c>
    </row>
    <row r="12" spans="1:14" x14ac:dyDescent="0.35">
      <c r="A12">
        <v>11</v>
      </c>
      <c r="B12" s="4" t="s">
        <v>14</v>
      </c>
      <c r="C12" s="4" t="s">
        <v>61</v>
      </c>
      <c r="D12" s="4" t="s">
        <v>62</v>
      </c>
      <c r="E12" s="5" t="s">
        <v>63</v>
      </c>
      <c r="F12" s="6" t="s">
        <v>64</v>
      </c>
      <c r="G12" t="str">
        <f>[1]!Query1[[#This Row],[Chipsets]]</f>
        <v>Arrow Lake</v>
      </c>
      <c r="H12" s="4" t="s">
        <v>19</v>
      </c>
      <c r="I12" s="4"/>
      <c r="J12" s="4">
        <v>1</v>
      </c>
      <c r="K12" s="4"/>
      <c r="L12" s="4" t="s">
        <v>65</v>
      </c>
      <c r="M12" s="4"/>
      <c r="N12" s="4" t="s">
        <v>21</v>
      </c>
    </row>
    <row r="13" spans="1:14" x14ac:dyDescent="0.35">
      <c r="A13">
        <v>12</v>
      </c>
      <c r="B13" s="4" t="s">
        <v>14</v>
      </c>
      <c r="C13" s="4" t="s">
        <v>66</v>
      </c>
      <c r="D13" s="4" t="s">
        <v>67</v>
      </c>
      <c r="E13" s="5" t="s">
        <v>63</v>
      </c>
      <c r="F13" s="6" t="s">
        <v>68</v>
      </c>
      <c r="G13" t="str">
        <f>[1]!Query1[[#This Row],[Chipsets]]</f>
        <v>Granite Ridge</v>
      </c>
      <c r="H13" s="4" t="s">
        <v>19</v>
      </c>
      <c r="I13" s="4"/>
      <c r="J13" s="4">
        <v>1</v>
      </c>
      <c r="K13" s="4"/>
      <c r="L13" s="4" t="s">
        <v>69</v>
      </c>
      <c r="M13" s="4"/>
      <c r="N13" s="4" t="s">
        <v>21</v>
      </c>
    </row>
    <row r="14" spans="1:14" x14ac:dyDescent="0.35">
      <c r="A14">
        <v>13</v>
      </c>
      <c r="B14" s="4" t="s">
        <v>14</v>
      </c>
      <c r="C14" s="4" t="s">
        <v>70</v>
      </c>
      <c r="D14" s="7" t="s">
        <v>71</v>
      </c>
      <c r="E14" s="5" t="s">
        <v>72</v>
      </c>
      <c r="F14" s="6" t="s">
        <v>73</v>
      </c>
      <c r="G14" t="str">
        <f>[1]!Query1[[#This Row],[Chipsets]]</f>
        <v>Raptor Lake-R</v>
      </c>
      <c r="H14" s="4" t="s">
        <v>19</v>
      </c>
      <c r="I14" s="4"/>
      <c r="J14" s="4">
        <v>1</v>
      </c>
      <c r="K14" s="4"/>
      <c r="L14" s="4" t="s">
        <v>65</v>
      </c>
      <c r="M14" s="4"/>
      <c r="N14" s="4"/>
    </row>
    <row r="15" spans="1:14" x14ac:dyDescent="0.35">
      <c r="A15">
        <v>14</v>
      </c>
      <c r="B15" s="4" t="s">
        <v>14</v>
      </c>
      <c r="C15" s="4" t="s">
        <v>74</v>
      </c>
      <c r="D15" s="4" t="s">
        <v>75</v>
      </c>
      <c r="E15" s="5" t="s">
        <v>75</v>
      </c>
      <c r="F15" s="6" t="s">
        <v>76</v>
      </c>
      <c r="G15" t="str">
        <f>[1]!Query1[[#This Row],[Chipsets]]</f>
        <v>Lunar Lake</v>
      </c>
      <c r="H15" s="4" t="s">
        <v>19</v>
      </c>
      <c r="I15" s="4" t="s">
        <v>54</v>
      </c>
      <c r="J15" s="4">
        <v>2</v>
      </c>
      <c r="K15" s="4">
        <v>2</v>
      </c>
      <c r="L15" s="4" t="s">
        <v>77</v>
      </c>
      <c r="M15" s="4" t="s">
        <v>55</v>
      </c>
      <c r="N15" s="4" t="s">
        <v>21</v>
      </c>
    </row>
    <row r="16" spans="1:14" x14ac:dyDescent="0.35">
      <c r="A16">
        <v>15</v>
      </c>
      <c r="B16" s="4" t="s">
        <v>14</v>
      </c>
      <c r="C16" s="4" t="s">
        <v>78</v>
      </c>
      <c r="D16" s="4" t="s">
        <v>79</v>
      </c>
      <c r="E16" s="5" t="s">
        <v>63</v>
      </c>
      <c r="F16" s="6" t="s">
        <v>80</v>
      </c>
      <c r="G16" t="str">
        <f>[1]!Query1[[#This Row],[Chipsets]]</f>
        <v>Raphael</v>
      </c>
      <c r="H16" s="4" t="s">
        <v>19</v>
      </c>
      <c r="I16" s="4"/>
      <c r="J16" s="4">
        <v>2</v>
      </c>
      <c r="K16" s="4"/>
      <c r="L16" s="4" t="s">
        <v>65</v>
      </c>
      <c r="M16" s="4"/>
      <c r="N16" s="4" t="s">
        <v>21</v>
      </c>
    </row>
    <row r="17" spans="1:14" x14ac:dyDescent="0.35">
      <c r="A17">
        <v>16</v>
      </c>
      <c r="B17" s="4" t="s">
        <v>14</v>
      </c>
      <c r="C17" s="4" t="s">
        <v>81</v>
      </c>
      <c r="D17" s="4" t="s">
        <v>82</v>
      </c>
      <c r="E17" s="5" t="s">
        <v>83</v>
      </c>
      <c r="F17" s="6" t="s">
        <v>73</v>
      </c>
      <c r="G17" t="str">
        <f>[1]!Query1[[#This Row],[Chipsets]]</f>
        <v>Raptor Lake-R</v>
      </c>
      <c r="H17" s="4" t="s">
        <v>19</v>
      </c>
      <c r="I17" s="4"/>
      <c r="J17" s="4">
        <v>1</v>
      </c>
      <c r="K17" s="4"/>
      <c r="L17" s="4" t="s">
        <v>65</v>
      </c>
      <c r="M17" s="4"/>
      <c r="N17" s="4"/>
    </row>
    <row r="18" spans="1:14" x14ac:dyDescent="0.35">
      <c r="A18">
        <v>17</v>
      </c>
      <c r="B18" s="4" t="s">
        <v>14</v>
      </c>
      <c r="C18" s="4" t="s">
        <v>84</v>
      </c>
      <c r="D18" s="7" t="s">
        <v>85</v>
      </c>
      <c r="E18" s="5" t="s">
        <v>86</v>
      </c>
      <c r="F18" s="6" t="s">
        <v>87</v>
      </c>
      <c r="G18" t="str">
        <f>[1]!Query1[[#This Row],[Chipsets]]</f>
        <v>Raptor Lake-R</v>
      </c>
      <c r="H18" s="4" t="s">
        <v>19</v>
      </c>
      <c r="I18" s="4"/>
      <c r="J18" s="4">
        <v>1</v>
      </c>
      <c r="K18" s="4"/>
      <c r="L18" s="4" t="s">
        <v>65</v>
      </c>
      <c r="M18" s="4"/>
      <c r="N18" s="4"/>
    </row>
    <row r="19" spans="1:14" x14ac:dyDescent="0.35">
      <c r="A19">
        <v>18</v>
      </c>
      <c r="B19" s="4" t="s">
        <v>14</v>
      </c>
      <c r="C19" s="4" t="s">
        <v>88</v>
      </c>
      <c r="D19" s="4" t="s">
        <v>89</v>
      </c>
      <c r="E19" s="5" t="s">
        <v>90</v>
      </c>
      <c r="F19" s="6" t="s">
        <v>91</v>
      </c>
      <c r="G19" t="str">
        <f>[1]!Query1[[#This Row],[Chipsets]]</f>
        <v>Hawk Point</v>
      </c>
      <c r="H19" s="4" t="s">
        <v>92</v>
      </c>
      <c r="I19" s="4"/>
      <c r="J19" s="4">
        <v>1</v>
      </c>
      <c r="K19" s="4"/>
      <c r="L19" s="4" t="s">
        <v>65</v>
      </c>
      <c r="M19" s="4"/>
      <c r="N19" s="4" t="s">
        <v>93</v>
      </c>
    </row>
    <row r="20" spans="1:14" x14ac:dyDescent="0.35">
      <c r="A20">
        <v>19</v>
      </c>
      <c r="B20" s="4" t="s">
        <v>14</v>
      </c>
      <c r="C20" s="4" t="s">
        <v>94</v>
      </c>
      <c r="D20" s="4" t="s">
        <v>95</v>
      </c>
      <c r="E20" s="5" t="s">
        <v>96</v>
      </c>
      <c r="F20" s="6" t="s">
        <v>97</v>
      </c>
      <c r="G20" t="str">
        <f>[1]!Query1[[#This Row],[Chipsets]]</f>
        <v>Hawk Point</v>
      </c>
      <c r="H20" s="4" t="s">
        <v>92</v>
      </c>
      <c r="I20" s="4"/>
      <c r="J20" s="4">
        <v>1</v>
      </c>
      <c r="K20" s="4"/>
      <c r="L20" s="4" t="s">
        <v>65</v>
      </c>
      <c r="M20" s="4"/>
      <c r="N20" s="4" t="s">
        <v>21</v>
      </c>
    </row>
    <row r="21" spans="1:14" x14ac:dyDescent="0.35">
      <c r="A21">
        <v>20</v>
      </c>
      <c r="B21" s="4" t="s">
        <v>14</v>
      </c>
      <c r="C21" s="4" t="s">
        <v>98</v>
      </c>
      <c r="D21" s="4" t="s">
        <v>99</v>
      </c>
      <c r="E21" s="5" t="s">
        <v>96</v>
      </c>
      <c r="F21" s="6" t="s">
        <v>100</v>
      </c>
      <c r="G21" t="str">
        <f>[1]!Query1[[#This Row],[Chipsets]]</f>
        <v>Snapdragon</v>
      </c>
      <c r="H21" s="4" t="s">
        <v>92</v>
      </c>
      <c r="I21" s="4" t="s">
        <v>54</v>
      </c>
      <c r="J21" s="4">
        <v>4</v>
      </c>
      <c r="K21" s="4">
        <v>1</v>
      </c>
      <c r="L21" s="4" t="s">
        <v>77</v>
      </c>
      <c r="M21" s="4" t="s">
        <v>55</v>
      </c>
      <c r="N21" s="4" t="s">
        <v>101</v>
      </c>
    </row>
    <row r="22" spans="1:14" x14ac:dyDescent="0.35">
      <c r="A22">
        <v>21</v>
      </c>
      <c r="B22" s="4" t="s">
        <v>14</v>
      </c>
      <c r="C22" s="4" t="s">
        <v>102</v>
      </c>
      <c r="D22" s="4" t="s">
        <v>103</v>
      </c>
      <c r="E22" s="5" t="s">
        <v>90</v>
      </c>
      <c r="F22" s="6" t="s">
        <v>104</v>
      </c>
      <c r="G22" t="str">
        <f>[1]!Query1[[#This Row],[Chipsets]]</f>
        <v>Strix Point</v>
      </c>
      <c r="H22" s="4" t="s">
        <v>92</v>
      </c>
      <c r="I22" s="4" t="s">
        <v>54</v>
      </c>
      <c r="J22" s="4">
        <v>2</v>
      </c>
      <c r="K22" s="4">
        <v>1</v>
      </c>
      <c r="L22" s="4" t="s">
        <v>65</v>
      </c>
      <c r="M22" s="4" t="s">
        <v>55</v>
      </c>
      <c r="N22" s="4" t="s">
        <v>21</v>
      </c>
    </row>
    <row r="23" spans="1:14" x14ac:dyDescent="0.35">
      <c r="A23">
        <v>22</v>
      </c>
      <c r="B23" s="4" t="s">
        <v>14</v>
      </c>
      <c r="C23" s="4" t="s">
        <v>105</v>
      </c>
      <c r="D23" s="4" t="s">
        <v>106</v>
      </c>
      <c r="E23" s="5" t="s">
        <v>90</v>
      </c>
      <c r="F23" s="6" t="s">
        <v>104</v>
      </c>
      <c r="G23" t="str">
        <f>[1]!Query1[[#This Row],[Chipsets]]</f>
        <v>Strix Point</v>
      </c>
      <c r="H23" s="4" t="s">
        <v>92</v>
      </c>
      <c r="I23" s="4" t="s">
        <v>54</v>
      </c>
      <c r="J23" s="4">
        <v>3</v>
      </c>
      <c r="K23" s="4"/>
      <c r="L23" s="4" t="s">
        <v>77</v>
      </c>
      <c r="M23" s="4" t="s">
        <v>37</v>
      </c>
      <c r="N23" s="4" t="s">
        <v>21</v>
      </c>
    </row>
    <row r="24" spans="1:14" x14ac:dyDescent="0.35">
      <c r="A24">
        <v>23</v>
      </c>
      <c r="B24" s="4" t="s">
        <v>14</v>
      </c>
      <c r="C24" s="4" t="s">
        <v>107</v>
      </c>
      <c r="D24" s="4" t="s">
        <v>108</v>
      </c>
      <c r="E24" s="5" t="s">
        <v>109</v>
      </c>
      <c r="F24" s="6" t="s">
        <v>110</v>
      </c>
      <c r="G24" t="str">
        <f>[1]!Query1[[#This Row],[Chipsets]]</f>
        <v>Lunar Lake</v>
      </c>
      <c r="H24" s="4" t="s">
        <v>92</v>
      </c>
      <c r="I24" s="8" t="s">
        <v>54</v>
      </c>
      <c r="J24" s="4">
        <v>2</v>
      </c>
      <c r="K24" s="4">
        <v>1</v>
      </c>
      <c r="L24" s="4" t="s">
        <v>65</v>
      </c>
      <c r="M24" s="4" t="s">
        <v>111</v>
      </c>
      <c r="N24" s="4" t="s">
        <v>112</v>
      </c>
    </row>
    <row r="25" spans="1:14" x14ac:dyDescent="0.35">
      <c r="A25">
        <v>24</v>
      </c>
      <c r="B25" s="4" t="s">
        <v>14</v>
      </c>
      <c r="C25" s="4" t="s">
        <v>113</v>
      </c>
      <c r="D25" s="4" t="s">
        <v>114</v>
      </c>
      <c r="E25" s="5" t="s">
        <v>109</v>
      </c>
      <c r="F25" s="6" t="s">
        <v>115</v>
      </c>
      <c r="G25" t="str">
        <f>[1]!Query1[[#This Row],[Chipsets]]</f>
        <v>Meteor Lake</v>
      </c>
      <c r="H25" s="4" t="s">
        <v>92</v>
      </c>
      <c r="I25" s="4"/>
      <c r="J25" s="4">
        <v>2</v>
      </c>
      <c r="K25" s="4"/>
      <c r="L25" s="4" t="s">
        <v>65</v>
      </c>
      <c r="M25" s="4"/>
      <c r="N25" s="4" t="s">
        <v>116</v>
      </c>
    </row>
    <row r="26" spans="1:14" x14ac:dyDescent="0.35">
      <c r="A26">
        <v>25</v>
      </c>
      <c r="B26" s="4" t="s">
        <v>14</v>
      </c>
      <c r="C26" s="4" t="s">
        <v>117</v>
      </c>
      <c r="D26" s="4" t="s">
        <v>118</v>
      </c>
      <c r="E26" s="5" t="s">
        <v>119</v>
      </c>
      <c r="F26" s="6" t="s">
        <v>80</v>
      </c>
      <c r="G26" t="str">
        <f>[1]!Query1[[#This Row],[Chipsets]]</f>
        <v>Raphael</v>
      </c>
      <c r="H26" s="4" t="s">
        <v>19</v>
      </c>
      <c r="I26" s="4"/>
      <c r="J26" s="4">
        <v>1</v>
      </c>
      <c r="K26" s="4"/>
      <c r="L26" s="4" t="s">
        <v>65</v>
      </c>
      <c r="M26" s="4"/>
      <c r="N26" s="4"/>
    </row>
    <row r="27" spans="1:14" x14ac:dyDescent="0.35">
      <c r="A27">
        <v>26</v>
      </c>
      <c r="B27" s="4" t="s">
        <v>14</v>
      </c>
      <c r="C27" s="4" t="s">
        <v>120</v>
      </c>
      <c r="D27" s="4" t="s">
        <v>121</v>
      </c>
      <c r="E27" s="5" t="s">
        <v>96</v>
      </c>
      <c r="F27" s="6" t="s">
        <v>122</v>
      </c>
      <c r="G27" t="str">
        <f>[1]!Query1[[#This Row],[Chipsets]]</f>
        <v>Raptor Lake-R</v>
      </c>
      <c r="H27" s="4" t="s">
        <v>19</v>
      </c>
      <c r="I27" s="4"/>
      <c r="J27" s="4">
        <v>1</v>
      </c>
      <c r="K27" s="4"/>
      <c r="L27" s="4" t="s">
        <v>65</v>
      </c>
      <c r="M27" s="4"/>
      <c r="N27" s="4" t="s">
        <v>21</v>
      </c>
    </row>
    <row r="28" spans="1:14" x14ac:dyDescent="0.35">
      <c r="A28">
        <v>27</v>
      </c>
      <c r="B28" s="4" t="s">
        <v>14</v>
      </c>
      <c r="C28" s="4" t="s">
        <v>123</v>
      </c>
      <c r="D28" s="4" t="s">
        <v>124</v>
      </c>
      <c r="E28" s="5" t="s">
        <v>96</v>
      </c>
      <c r="F28" s="6" t="s">
        <v>125</v>
      </c>
      <c r="G28" t="s">
        <v>126</v>
      </c>
      <c r="H28" s="4" t="s">
        <v>19</v>
      </c>
      <c r="I28" s="4"/>
      <c r="J28" s="4">
        <v>1</v>
      </c>
      <c r="K28" s="4"/>
      <c r="L28" s="4" t="s">
        <v>65</v>
      </c>
      <c r="M28" s="4"/>
      <c r="N28" s="4" t="s">
        <v>21</v>
      </c>
    </row>
    <row r="29" spans="1:14" x14ac:dyDescent="0.35">
      <c r="A29">
        <v>28</v>
      </c>
      <c r="B29" s="4" t="s">
        <v>14</v>
      </c>
      <c r="C29" s="4" t="s">
        <v>127</v>
      </c>
      <c r="D29" s="4" t="s">
        <v>128</v>
      </c>
      <c r="E29" s="5" t="s">
        <v>90</v>
      </c>
      <c r="F29" s="6" t="s">
        <v>129</v>
      </c>
      <c r="G29" t="str">
        <f>[1]!Query1[[#This Row],[Chipsets]]</f>
        <v>Lunar Lake</v>
      </c>
      <c r="H29" s="4" t="s">
        <v>19</v>
      </c>
      <c r="I29" s="4" t="s">
        <v>54</v>
      </c>
      <c r="J29" s="4">
        <v>2</v>
      </c>
      <c r="K29" s="4">
        <v>1</v>
      </c>
      <c r="L29" s="4" t="s">
        <v>77</v>
      </c>
      <c r="M29" s="4" t="s">
        <v>55</v>
      </c>
      <c r="N29" s="4" t="s">
        <v>21</v>
      </c>
    </row>
    <row r="30" spans="1:14" x14ac:dyDescent="0.35">
      <c r="A30">
        <v>29</v>
      </c>
      <c r="B30" s="4" t="s">
        <v>14</v>
      </c>
      <c r="C30" s="4" t="s">
        <v>130</v>
      </c>
      <c r="D30" s="4" t="s">
        <v>131</v>
      </c>
      <c r="E30" s="5" t="s">
        <v>109</v>
      </c>
      <c r="F30" s="6" t="s">
        <v>132</v>
      </c>
      <c r="G30" t="str">
        <f>[1]!Query1[[#This Row],[Chipsets]]</f>
        <v>Raptor Lake-R</v>
      </c>
      <c r="H30" s="4" t="s">
        <v>19</v>
      </c>
      <c r="I30" s="4" t="s">
        <v>54</v>
      </c>
      <c r="J30" s="4">
        <v>3</v>
      </c>
      <c r="K30" s="4">
        <v>2</v>
      </c>
      <c r="L30" s="4" t="s">
        <v>77</v>
      </c>
      <c r="M30" s="4" t="s">
        <v>55</v>
      </c>
      <c r="N30" s="4" t="s">
        <v>21</v>
      </c>
    </row>
    <row r="31" spans="1:14" x14ac:dyDescent="0.35">
      <c r="A31">
        <v>30</v>
      </c>
      <c r="B31" s="4" t="s">
        <v>14</v>
      </c>
      <c r="C31" s="4" t="s">
        <v>133</v>
      </c>
      <c r="D31" s="4" t="s">
        <v>134</v>
      </c>
      <c r="E31" s="5" t="s">
        <v>135</v>
      </c>
      <c r="F31" s="6" t="s">
        <v>136</v>
      </c>
      <c r="G31" t="str">
        <f>[1]!Query1[[#This Row],[Chipsets]]</f>
        <v>Raptor Lake</v>
      </c>
      <c r="H31" s="4" t="s">
        <v>92</v>
      </c>
      <c r="I31" s="4"/>
      <c r="J31" s="4">
        <v>1</v>
      </c>
      <c r="K31" s="4"/>
      <c r="L31" s="4" t="s">
        <v>65</v>
      </c>
      <c r="M31" s="4"/>
      <c r="N31" s="4" t="s">
        <v>21</v>
      </c>
    </row>
    <row r="32" spans="1:14" x14ac:dyDescent="0.35">
      <c r="B32" s="4" t="s">
        <v>14</v>
      </c>
      <c r="C32" s="4" t="s">
        <v>137</v>
      </c>
      <c r="D32" s="4" t="s">
        <v>135</v>
      </c>
      <c r="E32" s="5" t="s">
        <v>135</v>
      </c>
      <c r="F32" s="6" t="s">
        <v>138</v>
      </c>
      <c r="G32" t="str">
        <f>[1]!Query1[[#This Row],[Chipsets]]</f>
        <v>Hawk Point</v>
      </c>
      <c r="H32" s="4" t="s">
        <v>92</v>
      </c>
      <c r="I32" s="4" t="s">
        <v>54</v>
      </c>
      <c r="J32" s="4">
        <v>1</v>
      </c>
      <c r="K32" s="4">
        <v>2</v>
      </c>
      <c r="L32" s="4" t="s">
        <v>65</v>
      </c>
      <c r="M32" s="4" t="s">
        <v>55</v>
      </c>
      <c r="N32" s="4" t="s">
        <v>21</v>
      </c>
    </row>
    <row r="33" spans="2:14" x14ac:dyDescent="0.35">
      <c r="B33" s="4" t="s">
        <v>14</v>
      </c>
      <c r="C33" s="4" t="s">
        <v>139</v>
      </c>
      <c r="D33" s="4" t="s">
        <v>140</v>
      </c>
      <c r="E33" s="5" t="s">
        <v>109</v>
      </c>
      <c r="F33" s="6" t="s">
        <v>141</v>
      </c>
      <c r="G33" t="str">
        <f>[1]!Query1[[#This Row],[Chipsets]]</f>
        <v>Meteor Lake</v>
      </c>
      <c r="H33" s="4" t="s">
        <v>92</v>
      </c>
      <c r="I33" s="4"/>
      <c r="J33" s="4">
        <v>2</v>
      </c>
      <c r="K33" s="4"/>
      <c r="L33" s="4" t="s">
        <v>65</v>
      </c>
      <c r="M33" s="4"/>
      <c r="N33" s="4"/>
    </row>
    <row r="34" spans="2:14" x14ac:dyDescent="0.35">
      <c r="B34" s="4" t="s">
        <v>14</v>
      </c>
      <c r="C34" s="4" t="s">
        <v>142</v>
      </c>
      <c r="D34" s="4" t="s">
        <v>143</v>
      </c>
      <c r="E34" s="9">
        <v>46026</v>
      </c>
      <c r="F34" s="6" t="s">
        <v>144</v>
      </c>
      <c r="G34" t="str">
        <f>[1]!Query1[[#This Row],[Chipsets]]</f>
        <v>Snapdragon</v>
      </c>
      <c r="H34" s="4" t="s">
        <v>92</v>
      </c>
      <c r="I34" s="4"/>
      <c r="J34" s="4">
        <v>1</v>
      </c>
      <c r="K34" s="4"/>
      <c r="L34" s="4" t="s">
        <v>65</v>
      </c>
      <c r="M34" s="4"/>
      <c r="N34" s="4" t="s">
        <v>21</v>
      </c>
    </row>
    <row r="35" spans="2:14" x14ac:dyDescent="0.35">
      <c r="B35" s="4" t="s">
        <v>14</v>
      </c>
      <c r="C35" s="4" t="s">
        <v>145</v>
      </c>
      <c r="D35" s="4" t="s">
        <v>146</v>
      </c>
      <c r="E35" s="10">
        <v>18780</v>
      </c>
      <c r="F35" s="6" t="s">
        <v>115</v>
      </c>
      <c r="G35" t="str">
        <f>[1]!Query1[[#This Row],[Chipsets]]</f>
        <v>Meteor Lake</v>
      </c>
      <c r="H35" s="4" t="s">
        <v>92</v>
      </c>
      <c r="I35" s="4"/>
      <c r="J35" s="4">
        <v>1</v>
      </c>
      <c r="K35" s="4"/>
      <c r="L35" s="4" t="s">
        <v>65</v>
      </c>
      <c r="M35" s="4"/>
      <c r="N35" s="4" t="s">
        <v>21</v>
      </c>
    </row>
    <row r="36" spans="2:14" x14ac:dyDescent="0.35">
      <c r="B36" s="4" t="s">
        <v>14</v>
      </c>
      <c r="C36" s="4" t="s">
        <v>147</v>
      </c>
      <c r="D36" s="4" t="s">
        <v>148</v>
      </c>
      <c r="E36" s="5" t="s">
        <v>149</v>
      </c>
      <c r="F36" s="6" t="s">
        <v>91</v>
      </c>
      <c r="G36" t="str">
        <f>[1]!Query1[[#This Row],[Chipsets]]</f>
        <v>Hawk Point</v>
      </c>
      <c r="H36" s="4" t="s">
        <v>92</v>
      </c>
      <c r="I36" s="4" t="s">
        <v>54</v>
      </c>
      <c r="J36" s="4">
        <v>2</v>
      </c>
      <c r="K36" s="4">
        <v>1</v>
      </c>
      <c r="L36" s="4" t="s">
        <v>77</v>
      </c>
      <c r="M36" s="4" t="s">
        <v>55</v>
      </c>
      <c r="N36" s="4" t="s">
        <v>21</v>
      </c>
    </row>
    <row r="37" spans="2:14" x14ac:dyDescent="0.35">
      <c r="B37" s="4" t="s">
        <v>14</v>
      </c>
      <c r="C37" s="4" t="s">
        <v>150</v>
      </c>
      <c r="D37" s="4" t="s">
        <v>151</v>
      </c>
      <c r="E37" s="5" t="s">
        <v>152</v>
      </c>
      <c r="F37" s="6" t="s">
        <v>153</v>
      </c>
      <c r="G37" t="str">
        <f>[1]!Query1[[#This Row],[Chipsets]]</f>
        <v>Strix Point</v>
      </c>
      <c r="H37" s="4" t="s">
        <v>92</v>
      </c>
      <c r="I37" s="4" t="s">
        <v>54</v>
      </c>
      <c r="J37" s="4">
        <v>2</v>
      </c>
      <c r="K37" s="4">
        <v>2</v>
      </c>
      <c r="L37" s="4" t="s">
        <v>77</v>
      </c>
      <c r="M37" s="4" t="s">
        <v>55</v>
      </c>
      <c r="N37" s="4" t="s">
        <v>101</v>
      </c>
    </row>
    <row r="38" spans="2:14" x14ac:dyDescent="0.35">
      <c r="B38" s="4" t="s">
        <v>14</v>
      </c>
      <c r="C38" s="4" t="s">
        <v>154</v>
      </c>
      <c r="D38" s="4" t="s">
        <v>155</v>
      </c>
      <c r="E38" s="5">
        <v>-130</v>
      </c>
      <c r="F38" s="6" t="s">
        <v>156</v>
      </c>
      <c r="G38" t="str">
        <f>[1]!Query1[[#This Row],[Chipsets]]</f>
        <v>Raphael</v>
      </c>
      <c r="H38" s="4" t="s">
        <v>92</v>
      </c>
      <c r="I38" s="4" t="s">
        <v>54</v>
      </c>
      <c r="J38" s="4">
        <v>2</v>
      </c>
      <c r="K38" s="4">
        <v>2</v>
      </c>
      <c r="L38" s="4" t="s">
        <v>77</v>
      </c>
      <c r="M38" s="4" t="s">
        <v>157</v>
      </c>
      <c r="N38" s="4" t="s">
        <v>21</v>
      </c>
    </row>
    <row r="39" spans="2:14" x14ac:dyDescent="0.35">
      <c r="B39" s="4" t="s">
        <v>14</v>
      </c>
      <c r="C39" s="4" t="s">
        <v>158</v>
      </c>
      <c r="D39" s="4" t="s">
        <v>159</v>
      </c>
      <c r="E39" s="5" t="s">
        <v>160</v>
      </c>
      <c r="F39" s="6" t="s">
        <v>104</v>
      </c>
      <c r="G39" t="str">
        <f>[1]!Query1[[#This Row],[Chipsets]]</f>
        <v>Strix Point</v>
      </c>
      <c r="H39" s="4" t="s">
        <v>161</v>
      </c>
      <c r="I39" s="4" t="s">
        <v>54</v>
      </c>
      <c r="J39" s="4">
        <v>2</v>
      </c>
      <c r="K39" s="4">
        <v>2</v>
      </c>
      <c r="L39" s="4" t="s">
        <v>77</v>
      </c>
      <c r="M39" s="4" t="s">
        <v>55</v>
      </c>
      <c r="N39" s="4" t="s">
        <v>21</v>
      </c>
    </row>
    <row r="40" spans="2:14" x14ac:dyDescent="0.35">
      <c r="B40" s="4" t="s">
        <v>14</v>
      </c>
      <c r="C40" s="4" t="s">
        <v>162</v>
      </c>
      <c r="D40" s="4" t="s">
        <v>163</v>
      </c>
      <c r="E40" s="5" t="s">
        <v>164</v>
      </c>
      <c r="F40" s="6" t="s">
        <v>153</v>
      </c>
      <c r="G40" t="str">
        <f>[1]!Query1[[#This Row],[Chipsets]]</f>
        <v>Strix Point</v>
      </c>
      <c r="H40" s="4" t="s">
        <v>161</v>
      </c>
      <c r="I40" s="4"/>
      <c r="J40" s="4">
        <v>1</v>
      </c>
      <c r="K40" s="4"/>
      <c r="L40" s="4" t="s">
        <v>65</v>
      </c>
      <c r="M40" s="4"/>
      <c r="N40" s="4" t="s">
        <v>21</v>
      </c>
    </row>
    <row r="41" spans="2:14" x14ac:dyDescent="0.35">
      <c r="B41" s="4" t="s">
        <v>14</v>
      </c>
      <c r="C41" s="4" t="s">
        <v>165</v>
      </c>
      <c r="D41" s="4" t="s">
        <v>166</v>
      </c>
      <c r="E41" s="5" t="s">
        <v>167</v>
      </c>
      <c r="F41" s="6" t="s">
        <v>104</v>
      </c>
      <c r="G41" t="str">
        <f>[1]!Query1[[#This Row],[Chipsets]]</f>
        <v>Strix Point</v>
      </c>
      <c r="H41" s="4" t="s">
        <v>161</v>
      </c>
      <c r="I41" s="4"/>
      <c r="J41" s="4">
        <v>1</v>
      </c>
      <c r="K41" s="4"/>
      <c r="L41" s="4" t="s">
        <v>65</v>
      </c>
      <c r="M41" s="4"/>
      <c r="N41" s="4" t="s">
        <v>21</v>
      </c>
    </row>
    <row r="42" spans="2:14" x14ac:dyDescent="0.35">
      <c r="B42" s="4" t="s">
        <v>14</v>
      </c>
      <c r="C42" s="4" t="s">
        <v>168</v>
      </c>
      <c r="D42" s="4" t="s">
        <v>169</v>
      </c>
      <c r="E42" s="5" t="s">
        <v>170</v>
      </c>
      <c r="F42" s="6" t="s">
        <v>110</v>
      </c>
      <c r="G42" t="str">
        <f>[1]!Query1[[#This Row],[Chipsets]]</f>
        <v>Lunar Lake</v>
      </c>
      <c r="H42" s="4" t="s">
        <v>161</v>
      </c>
      <c r="I42" s="4" t="s">
        <v>54</v>
      </c>
      <c r="J42" s="4">
        <v>1</v>
      </c>
      <c r="K42" s="4"/>
      <c r="L42" s="4" t="s">
        <v>65</v>
      </c>
      <c r="M42" s="4" t="s">
        <v>55</v>
      </c>
      <c r="N42" s="4" t="s">
        <v>21</v>
      </c>
    </row>
    <row r="43" spans="2:14" x14ac:dyDescent="0.35">
      <c r="B43" s="4" t="s">
        <v>14</v>
      </c>
      <c r="C43" s="4" t="s">
        <v>171</v>
      </c>
      <c r="D43" s="4" t="s">
        <v>172</v>
      </c>
      <c r="E43" s="5" t="s">
        <v>173</v>
      </c>
      <c r="F43" s="6" t="s">
        <v>138</v>
      </c>
      <c r="G43" t="str">
        <f>[1]!Query1[[#This Row],[Chipsets]]</f>
        <v>Hawk Point</v>
      </c>
      <c r="H43" s="4" t="s">
        <v>161</v>
      </c>
      <c r="I43" s="4" t="s">
        <v>54</v>
      </c>
      <c r="J43" s="4">
        <v>1</v>
      </c>
      <c r="K43" s="4">
        <v>2</v>
      </c>
      <c r="L43" s="4" t="s">
        <v>174</v>
      </c>
      <c r="M43" s="4" t="s">
        <v>55</v>
      </c>
      <c r="N43" s="4" t="s">
        <v>21</v>
      </c>
    </row>
    <row r="44" spans="2:14" x14ac:dyDescent="0.35">
      <c r="B44" s="4" t="s">
        <v>14</v>
      </c>
      <c r="C44" s="4" t="s">
        <v>175</v>
      </c>
      <c r="D44" s="4" t="s">
        <v>176</v>
      </c>
      <c r="E44" s="5"/>
      <c r="F44" s="6" t="s">
        <v>177</v>
      </c>
      <c r="G44" t="str">
        <f>[1]!Query1[[#This Row],[Chipsets]]</f>
        <v>Dragon Range</v>
      </c>
      <c r="H44" s="4" t="s">
        <v>161</v>
      </c>
      <c r="I44" s="4" t="s">
        <v>54</v>
      </c>
      <c r="J44" s="4">
        <v>1</v>
      </c>
      <c r="K44" s="4">
        <v>2</v>
      </c>
      <c r="L44" s="4" t="s">
        <v>174</v>
      </c>
      <c r="M44" s="4" t="s">
        <v>37</v>
      </c>
      <c r="N44" s="4" t="s">
        <v>21</v>
      </c>
    </row>
    <row r="45" spans="2:14" x14ac:dyDescent="0.35">
      <c r="B45" s="4" t="s">
        <v>14</v>
      </c>
      <c r="C45" s="4" t="s">
        <v>178</v>
      </c>
      <c r="D45" s="4" t="s">
        <v>179</v>
      </c>
      <c r="E45" s="5" t="s">
        <v>180</v>
      </c>
      <c r="F45" s="6" t="s">
        <v>181</v>
      </c>
      <c r="G45" t="str">
        <f>[1]!Query1[[#This Row],[Chipsets]]</f>
        <v>Meteor Lake</v>
      </c>
      <c r="H45" s="4" t="s">
        <v>161</v>
      </c>
      <c r="I45" s="4" t="s">
        <v>54</v>
      </c>
      <c r="J45" s="4">
        <v>2</v>
      </c>
      <c r="K45" s="4">
        <v>1</v>
      </c>
      <c r="L45" s="4" t="s">
        <v>182</v>
      </c>
      <c r="M45" s="4" t="s">
        <v>183</v>
      </c>
      <c r="N45" s="4" t="s">
        <v>21</v>
      </c>
    </row>
    <row r="46" spans="2:14" x14ac:dyDescent="0.35">
      <c r="B46" s="4" t="s">
        <v>14</v>
      </c>
      <c r="C46" s="4" t="s">
        <v>184</v>
      </c>
      <c r="D46" s="4" t="s">
        <v>179</v>
      </c>
      <c r="E46" s="5" t="s">
        <v>185</v>
      </c>
      <c r="F46" s="6" t="s">
        <v>115</v>
      </c>
      <c r="G46" t="str">
        <f>[1]!Query1[[#This Row],[Chipsets]]</f>
        <v>Meteor Lake</v>
      </c>
      <c r="H46" s="4" t="s">
        <v>161</v>
      </c>
      <c r="I46" s="4" t="s">
        <v>54</v>
      </c>
      <c r="J46" s="4">
        <v>1</v>
      </c>
      <c r="K46" s="4">
        <v>1</v>
      </c>
      <c r="L46" s="4" t="s">
        <v>174</v>
      </c>
      <c r="M46" s="4" t="s">
        <v>55</v>
      </c>
      <c r="N46" s="4" t="s">
        <v>21</v>
      </c>
    </row>
    <row r="47" spans="2:14" x14ac:dyDescent="0.35">
      <c r="B47" s="4" t="s">
        <v>14</v>
      </c>
      <c r="C47" s="4" t="s">
        <v>186</v>
      </c>
      <c r="D47" s="4" t="s">
        <v>187</v>
      </c>
      <c r="E47" s="5" t="s">
        <v>96</v>
      </c>
      <c r="F47" s="6" t="s">
        <v>177</v>
      </c>
      <c r="G47" t="str">
        <f>[1]!Query1[[#This Row],[Chipsets]]</f>
        <v>Dragon Range</v>
      </c>
      <c r="H47" s="4" t="s">
        <v>161</v>
      </c>
      <c r="I47" s="4" t="s">
        <v>54</v>
      </c>
      <c r="J47" s="4">
        <v>1</v>
      </c>
      <c r="K47" s="4">
        <v>2</v>
      </c>
      <c r="L47" s="4" t="s">
        <v>174</v>
      </c>
      <c r="M47" s="4" t="s">
        <v>183</v>
      </c>
      <c r="N47" s="4" t="s">
        <v>21</v>
      </c>
    </row>
    <row r="48" spans="2:14" x14ac:dyDescent="0.35">
      <c r="B48" s="4" t="s">
        <v>14</v>
      </c>
      <c r="C48" s="4" t="s">
        <v>188</v>
      </c>
      <c r="D48" s="4" t="s">
        <v>189</v>
      </c>
      <c r="E48" s="5" t="s">
        <v>190</v>
      </c>
      <c r="F48" s="6" t="s">
        <v>191</v>
      </c>
      <c r="G48" t="str">
        <f>[1]!Query1[[#This Row],[Chipsets]]</f>
        <v>Raptor Lake</v>
      </c>
      <c r="H48" s="4" t="s">
        <v>161</v>
      </c>
      <c r="I48" s="4" t="s">
        <v>192</v>
      </c>
      <c r="J48" s="4">
        <v>1</v>
      </c>
      <c r="K48" s="4"/>
      <c r="L48" s="4" t="s">
        <v>174</v>
      </c>
      <c r="M48" s="4"/>
      <c r="N48" s="4"/>
    </row>
    <row r="49" spans="2:14" x14ac:dyDescent="0.35">
      <c r="B49" s="4" t="s">
        <v>14</v>
      </c>
      <c r="C49" s="4" t="s">
        <v>193</v>
      </c>
      <c r="D49" s="4" t="s">
        <v>194</v>
      </c>
      <c r="E49" s="10">
        <v>26085</v>
      </c>
      <c r="F49" s="6" t="s">
        <v>195</v>
      </c>
      <c r="G49" t="str">
        <f>[1]!Query1[[#This Row],[Chipsets]]</f>
        <v>Raptor Lake</v>
      </c>
      <c r="H49" s="4" t="s">
        <v>161</v>
      </c>
      <c r="I49" s="4" t="s">
        <v>54</v>
      </c>
      <c r="J49" s="4">
        <v>1</v>
      </c>
      <c r="K49" s="4">
        <v>2</v>
      </c>
      <c r="L49" s="4" t="s">
        <v>174</v>
      </c>
      <c r="M49" s="4" t="s">
        <v>157</v>
      </c>
      <c r="N49" s="4" t="s">
        <v>112</v>
      </c>
    </row>
    <row r="50" spans="2:14" x14ac:dyDescent="0.35">
      <c r="B50" s="4" t="s">
        <v>14</v>
      </c>
      <c r="C50" s="4" t="s">
        <v>196</v>
      </c>
      <c r="D50" s="4" t="s">
        <v>197</v>
      </c>
      <c r="E50" s="5" t="s">
        <v>198</v>
      </c>
      <c r="F50" s="6" t="s">
        <v>199</v>
      </c>
      <c r="G50" t="str">
        <f>[1]!Query1[[#This Row],[Chipsets]]</f>
        <v>Raptor Lake</v>
      </c>
      <c r="H50" s="4" t="s">
        <v>161</v>
      </c>
      <c r="I50" s="4" t="s">
        <v>35</v>
      </c>
      <c r="J50" s="4">
        <v>1</v>
      </c>
      <c r="K50" s="4">
        <v>2</v>
      </c>
      <c r="L50" s="4" t="s">
        <v>174</v>
      </c>
      <c r="M50" s="4" t="s">
        <v>55</v>
      </c>
      <c r="N50" s="4" t="s">
        <v>21</v>
      </c>
    </row>
    <row r="51" spans="2:14" x14ac:dyDescent="0.35">
      <c r="B51" s="4" t="s">
        <v>14</v>
      </c>
      <c r="C51" s="4" t="s">
        <v>200</v>
      </c>
      <c r="D51" s="4" t="s">
        <v>201</v>
      </c>
      <c r="E51" s="5" t="s">
        <v>202</v>
      </c>
      <c r="F51" s="6" t="s">
        <v>203</v>
      </c>
      <c r="G51" t="str">
        <f>[1]!Query1[[#This Row],[Chipsets]]</f>
        <v>Raptor Lake-R</v>
      </c>
      <c r="H51" s="4" t="s">
        <v>161</v>
      </c>
      <c r="I51" s="4" t="s">
        <v>54</v>
      </c>
      <c r="J51" s="4">
        <v>1</v>
      </c>
      <c r="K51" s="4">
        <v>2</v>
      </c>
      <c r="L51" s="4" t="s">
        <v>174</v>
      </c>
      <c r="M51" s="4" t="s">
        <v>157</v>
      </c>
      <c r="N51" s="4" t="s">
        <v>21</v>
      </c>
    </row>
    <row r="52" spans="2:14" x14ac:dyDescent="0.35">
      <c r="B52" s="4" t="s">
        <v>14</v>
      </c>
      <c r="C52" s="4" t="s">
        <v>204</v>
      </c>
      <c r="D52" s="4" t="s">
        <v>205</v>
      </c>
      <c r="E52" s="5" t="s">
        <v>206</v>
      </c>
      <c r="F52" s="6" t="s">
        <v>207</v>
      </c>
      <c r="G52" t="str">
        <f>[1]!Query1[[#This Row],[Chipsets]]</f>
        <v>Lunar Lake</v>
      </c>
      <c r="H52" s="4" t="s">
        <v>19</v>
      </c>
      <c r="I52" s="4"/>
      <c r="J52" s="4">
        <v>1</v>
      </c>
      <c r="K52" s="4"/>
      <c r="L52" s="4" t="s">
        <v>65</v>
      </c>
      <c r="M52" s="4"/>
      <c r="N52" s="4"/>
    </row>
    <row r="53" spans="2:14" x14ac:dyDescent="0.35">
      <c r="B53" s="4" t="s">
        <v>14</v>
      </c>
      <c r="C53" s="4" t="s">
        <v>208</v>
      </c>
      <c r="D53" s="4" t="s">
        <v>209</v>
      </c>
      <c r="E53" s="5" t="s">
        <v>210</v>
      </c>
      <c r="F53" s="6" t="s">
        <v>211</v>
      </c>
      <c r="G53" t="str">
        <f>[1]!Query1[[#This Row],[Chipsets]]</f>
        <v>Lunar Lake</v>
      </c>
      <c r="H53" s="4" t="s">
        <v>161</v>
      </c>
      <c r="I53" s="4"/>
      <c r="J53" s="4">
        <v>2</v>
      </c>
      <c r="K53" s="4"/>
      <c r="L53" s="4" t="s">
        <v>65</v>
      </c>
      <c r="M53" s="4"/>
      <c r="N53" s="4"/>
    </row>
    <row r="54" spans="2:14" x14ac:dyDescent="0.35">
      <c r="B54" s="4" t="s">
        <v>14</v>
      </c>
      <c r="C54" s="4" t="s">
        <v>212</v>
      </c>
      <c r="D54" s="4" t="s">
        <v>213</v>
      </c>
      <c r="E54" s="5" t="s">
        <v>214</v>
      </c>
      <c r="F54" s="6" t="s">
        <v>181</v>
      </c>
      <c r="G54" t="str">
        <f>[1]!Query1[[#This Row],[Chipsets]]</f>
        <v>Meteor Lake</v>
      </c>
      <c r="H54" s="4" t="s">
        <v>161</v>
      </c>
      <c r="I54" s="4"/>
      <c r="J54" s="4">
        <v>1</v>
      </c>
      <c r="K54" s="4"/>
      <c r="L54" s="4" t="s">
        <v>65</v>
      </c>
      <c r="M54" s="4"/>
      <c r="N54" s="4"/>
    </row>
    <row r="55" spans="2:14" x14ac:dyDescent="0.35">
      <c r="B55" s="4" t="s">
        <v>14</v>
      </c>
      <c r="C55" s="4" t="s">
        <v>215</v>
      </c>
      <c r="D55" s="4" t="s">
        <v>216</v>
      </c>
      <c r="E55" s="5" t="s">
        <v>54</v>
      </c>
      <c r="F55" s="6" t="s">
        <v>217</v>
      </c>
      <c r="G55" t="str">
        <f>[1]!Query1[[#This Row],[Chipsets]]</f>
        <v>Meteor Lake</v>
      </c>
      <c r="H55" s="4" t="s">
        <v>161</v>
      </c>
      <c r="I55" s="4"/>
      <c r="J55" s="4">
        <v>1</v>
      </c>
      <c r="K55" s="4"/>
      <c r="L55" s="4" t="s">
        <v>65</v>
      </c>
      <c r="M55" s="4"/>
      <c r="N55" s="4"/>
    </row>
    <row r="56" spans="2:14" x14ac:dyDescent="0.35">
      <c r="B56" s="4" t="s">
        <v>14</v>
      </c>
      <c r="C56" s="4" t="s">
        <v>218</v>
      </c>
      <c r="D56" s="4" t="s">
        <v>219</v>
      </c>
      <c r="E56" s="5" t="s">
        <v>90</v>
      </c>
      <c r="F56" s="6" t="s">
        <v>220</v>
      </c>
      <c r="G56" t="str">
        <f>[1]!Query1[[#This Row],[Chipsets]]</f>
        <v>Lunar Lake</v>
      </c>
      <c r="H56" s="4" t="s">
        <v>19</v>
      </c>
      <c r="I56" s="4"/>
      <c r="J56" s="4">
        <v>2</v>
      </c>
      <c r="K56" s="4"/>
      <c r="L56" s="4" t="s">
        <v>65</v>
      </c>
      <c r="M56" s="4"/>
      <c r="N56" s="4" t="s">
        <v>21</v>
      </c>
    </row>
    <row r="57" spans="2:14" x14ac:dyDescent="0.35">
      <c r="B57" s="4" t="s">
        <v>14</v>
      </c>
      <c r="C57" s="4" t="s">
        <v>221</v>
      </c>
      <c r="D57" s="4" t="s">
        <v>222</v>
      </c>
      <c r="E57" s="5" t="s">
        <v>96</v>
      </c>
      <c r="F57" s="6" t="s">
        <v>104</v>
      </c>
      <c r="G57" t="str">
        <f>[1]!Query1[[#This Row],[Chipsets]]</f>
        <v>Strix Point</v>
      </c>
      <c r="H57" s="4" t="s">
        <v>92</v>
      </c>
      <c r="I57" s="4" t="s">
        <v>54</v>
      </c>
      <c r="J57" s="4">
        <v>1</v>
      </c>
      <c r="K57" s="4"/>
      <c r="L57" s="4" t="s">
        <v>65</v>
      </c>
      <c r="M57" s="4" t="s">
        <v>183</v>
      </c>
      <c r="N57" s="4" t="s">
        <v>21</v>
      </c>
    </row>
    <row r="58" spans="2:14" x14ac:dyDescent="0.35">
      <c r="B58" s="4" t="s">
        <v>14</v>
      </c>
      <c r="C58" s="4" t="s">
        <v>223</v>
      </c>
      <c r="D58" s="4" t="s">
        <v>224</v>
      </c>
      <c r="E58" s="5" t="s">
        <v>225</v>
      </c>
      <c r="F58" s="6" t="s">
        <v>226</v>
      </c>
      <c r="G58" t="str">
        <f>[1]!Query1[[#This Row],[Chipsets]]</f>
        <v>Raptor Lake-R</v>
      </c>
      <c r="H58" s="4" t="s">
        <v>92</v>
      </c>
      <c r="I58" s="4"/>
      <c r="J58" s="4">
        <v>1</v>
      </c>
      <c r="K58" s="4"/>
      <c r="L58" s="4" t="s">
        <v>65</v>
      </c>
      <c r="M58" s="4"/>
      <c r="N58" s="4"/>
    </row>
    <row r="59" spans="2:14" x14ac:dyDescent="0.35">
      <c r="B59" s="4" t="s">
        <v>14</v>
      </c>
      <c r="C59" s="4" t="s">
        <v>227</v>
      </c>
      <c r="D59" s="4" t="s">
        <v>228</v>
      </c>
      <c r="E59" s="5" t="s">
        <v>229</v>
      </c>
      <c r="F59" s="6" t="s">
        <v>64</v>
      </c>
      <c r="G59" t="str">
        <f>[1]!Query1[[#This Row],[Chipsets]]</f>
        <v>Arrow Lake</v>
      </c>
      <c r="H59" s="4" t="s">
        <v>19</v>
      </c>
      <c r="I59" s="4" t="s">
        <v>54</v>
      </c>
      <c r="J59" s="4">
        <v>1</v>
      </c>
      <c r="K59" s="11"/>
      <c r="L59" s="4" t="s">
        <v>65</v>
      </c>
      <c r="M59" s="4" t="s">
        <v>157</v>
      </c>
      <c r="N59" s="4"/>
    </row>
    <row r="60" spans="2:14" x14ac:dyDescent="0.35">
      <c r="B60" s="4" t="s">
        <v>14</v>
      </c>
      <c r="C60" s="4" t="s">
        <v>230</v>
      </c>
      <c r="D60" s="4" t="s">
        <v>231</v>
      </c>
      <c r="E60" s="5" t="s">
        <v>229</v>
      </c>
      <c r="F60" s="6" t="s">
        <v>68</v>
      </c>
      <c r="G60" t="str">
        <f>[1]!Query1[[#This Row],[Chipsets]]</f>
        <v>Granite Ridge</v>
      </c>
      <c r="H60" s="4" t="s">
        <v>19</v>
      </c>
      <c r="I60" s="4" t="s">
        <v>54</v>
      </c>
      <c r="J60" s="4">
        <v>1</v>
      </c>
      <c r="K60" s="11"/>
      <c r="L60" s="4" t="s">
        <v>65</v>
      </c>
      <c r="M60" s="4" t="s">
        <v>183</v>
      </c>
      <c r="N60" s="4"/>
    </row>
    <row r="61" spans="2:14" x14ac:dyDescent="0.35">
      <c r="B61" s="4" t="s">
        <v>14</v>
      </c>
      <c r="C61" s="4" t="s">
        <v>232</v>
      </c>
      <c r="D61" s="4" t="s">
        <v>233</v>
      </c>
      <c r="E61" s="5" t="s">
        <v>229</v>
      </c>
      <c r="F61" s="6" t="s">
        <v>234</v>
      </c>
      <c r="G61" t="s">
        <v>235</v>
      </c>
      <c r="H61" s="4" t="s">
        <v>19</v>
      </c>
      <c r="I61" s="4" t="s">
        <v>35</v>
      </c>
      <c r="J61" s="4">
        <v>1</v>
      </c>
      <c r="K61" s="4"/>
      <c r="L61" s="4" t="s">
        <v>65</v>
      </c>
      <c r="M61" s="4" t="s">
        <v>183</v>
      </c>
      <c r="N61" s="4"/>
    </row>
    <row r="62" spans="2:14" x14ac:dyDescent="0.35">
      <c r="B62" s="4" t="s">
        <v>14</v>
      </c>
      <c r="C62" s="4" t="s">
        <v>236</v>
      </c>
      <c r="D62" s="4" t="s">
        <v>237</v>
      </c>
      <c r="E62" s="5" t="s">
        <v>119</v>
      </c>
      <c r="F62" s="6" t="s">
        <v>80</v>
      </c>
      <c r="G62" t="str">
        <f>[1]!Query1[[#This Row],[Chipsets]]</f>
        <v>Raphael</v>
      </c>
      <c r="H62" s="4" t="s">
        <v>19</v>
      </c>
      <c r="I62" s="4" t="s">
        <v>54</v>
      </c>
      <c r="J62" s="4">
        <v>1</v>
      </c>
      <c r="K62" s="4"/>
      <c r="L62" s="4" t="s">
        <v>65</v>
      </c>
      <c r="M62" s="4" t="s">
        <v>183</v>
      </c>
      <c r="N62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Verma</dc:creator>
  <cp:lastModifiedBy>Tushar Verma</cp:lastModifiedBy>
  <dcterms:created xsi:type="dcterms:W3CDTF">2015-06-05T18:17:20Z</dcterms:created>
  <dcterms:modified xsi:type="dcterms:W3CDTF">2026-02-24T14:34:43Z</dcterms:modified>
</cp:coreProperties>
</file>